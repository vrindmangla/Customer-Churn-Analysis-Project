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Customer Churn Analysis Project\ML data\"/>
    </mc:Choice>
  </mc:AlternateContent>
  <xr:revisionPtr revIDLastSave="0" documentId="13_ncr:1_{7246C6E9-1BEC-4657-B555-3A4AC619B8FF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Model Metrics" sheetId="1" r:id="rId1"/>
    <sheet name="Prediction Distribution" sheetId="2" r:id="rId2"/>
    <sheet name="Confusion Matrix" sheetId="3" r:id="rId3"/>
    <sheet name="Actual vs Predicted" sheetId="4" r:id="rId4"/>
    <sheet name="Feature Importanc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2" i="3"/>
</calcChain>
</file>

<file path=xl/sharedStrings.xml><?xml version="1.0" encoding="utf-8"?>
<sst xmlns="http://schemas.openxmlformats.org/spreadsheetml/2006/main" count="119" uniqueCount="40">
  <si>
    <t>Model</t>
  </si>
  <si>
    <t>Accuracy</t>
  </si>
  <si>
    <t>Precision</t>
  </si>
  <si>
    <t>Recall</t>
  </si>
  <si>
    <t>F1 Score</t>
  </si>
  <si>
    <t>Logistic Regression</t>
  </si>
  <si>
    <t>Random Forest</t>
  </si>
  <si>
    <t>XGBoost</t>
  </si>
  <si>
    <t>SVM</t>
  </si>
  <si>
    <t>Prediction</t>
  </si>
  <si>
    <t>Count</t>
  </si>
  <si>
    <t>Likely to Churn</t>
  </si>
  <si>
    <t>Likely to Stay</t>
  </si>
  <si>
    <t>Confusion_Type</t>
  </si>
  <si>
    <t>True Negative</t>
  </si>
  <si>
    <t>False Positive</t>
  </si>
  <si>
    <t>False Negative</t>
  </si>
  <si>
    <t>True Positive</t>
  </si>
  <si>
    <t>Category</t>
  </si>
  <si>
    <t>Actual Churn</t>
  </si>
  <si>
    <t>Predicted Churn</t>
  </si>
  <si>
    <t>Feature</t>
  </si>
  <si>
    <t>Importance</t>
  </si>
  <si>
    <t>City_Bakersfield</t>
  </si>
  <si>
    <t>City_Santa Maria</t>
  </si>
  <si>
    <t>Dependents</t>
  </si>
  <si>
    <t>City_North Hollywood</t>
  </si>
  <si>
    <t>City_San Dimas</t>
  </si>
  <si>
    <t>Total Charges</t>
  </si>
  <si>
    <t>Tenure Months</t>
  </si>
  <si>
    <t>Monthly Charges</t>
  </si>
  <si>
    <t>Latitude</t>
  </si>
  <si>
    <t>Longitude</t>
  </si>
  <si>
    <t>Not Available</t>
  </si>
  <si>
    <t>Internet Service_Fiber optic</t>
  </si>
  <si>
    <t>Contract_Two year</t>
  </si>
  <si>
    <t>Contract_One year</t>
  </si>
  <si>
    <t>Internet Service_No</t>
  </si>
  <si>
    <t>Actual</t>
  </si>
  <si>
    <t>Predicted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</si>
</sst>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C5" sqref="C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0.79559971611071678</v>
      </c>
      <c r="C2">
        <v>0.66091954022988508</v>
      </c>
      <c r="D2">
        <v>0.57499999999999996</v>
      </c>
      <c r="E2">
        <v>0.61497326203208558</v>
      </c>
    </row>
    <row r="3" spans="1:5" x14ac:dyDescent="0.25">
      <c r="A3" t="s">
        <v>6</v>
      </c>
      <c r="B3">
        <v>0.80056777856635908</v>
      </c>
      <c r="C3">
        <v>0.71636363636363631</v>
      </c>
      <c r="D3">
        <v>0.49249999999999999</v>
      </c>
      <c r="E3">
        <v>0.58370370370370372</v>
      </c>
    </row>
    <row r="4" spans="1:5" x14ac:dyDescent="0.25">
      <c r="A4" t="s">
        <v>7</v>
      </c>
      <c r="B4">
        <v>0.80411639460610362</v>
      </c>
      <c r="C4">
        <v>0.69496855345911945</v>
      </c>
      <c r="D4">
        <v>0.55249999999999999</v>
      </c>
      <c r="E4">
        <v>0.6155988857938719</v>
      </c>
    </row>
    <row r="5" spans="1:5" x14ac:dyDescent="0.25">
      <c r="A5" t="s">
        <v>8</v>
      </c>
      <c r="B5">
        <v>0.71611071682044003</v>
      </c>
      <c r="C5">
        <v>0</v>
      </c>
      <c r="D5">
        <v>0</v>
      </c>
      <c r="E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2" sqref="B2"/>
    </sheetView>
  </sheetViews>
  <sheetFormatPr defaultRowHeight="15" x14ac:dyDescent="0.25"/>
  <sheetData>
    <row r="1" spans="1:3" x14ac:dyDescent="0.25">
      <c r="A1" t="s">
        <v>0</v>
      </c>
      <c r="B1" t="s">
        <v>9</v>
      </c>
      <c r="C1" t="s">
        <v>10</v>
      </c>
    </row>
    <row r="2" spans="1:3" x14ac:dyDescent="0.25">
      <c r="A2" t="s">
        <v>5</v>
      </c>
      <c r="B2" t="s">
        <v>11</v>
      </c>
      <c r="C2">
        <v>348</v>
      </c>
    </row>
    <row r="3" spans="1:3" x14ac:dyDescent="0.25">
      <c r="A3" t="s">
        <v>5</v>
      </c>
      <c r="B3" t="s">
        <v>12</v>
      </c>
      <c r="C3">
        <v>1061</v>
      </c>
    </row>
    <row r="4" spans="1:3" x14ac:dyDescent="0.25">
      <c r="A4" t="s">
        <v>6</v>
      </c>
      <c r="B4" t="s">
        <v>11</v>
      </c>
      <c r="C4">
        <v>275</v>
      </c>
    </row>
    <row r="5" spans="1:3" x14ac:dyDescent="0.25">
      <c r="A5" t="s">
        <v>6</v>
      </c>
      <c r="B5" t="s">
        <v>12</v>
      </c>
      <c r="C5">
        <v>1134</v>
      </c>
    </row>
    <row r="6" spans="1:3" x14ac:dyDescent="0.25">
      <c r="A6" t="s">
        <v>7</v>
      </c>
      <c r="B6" t="s">
        <v>11</v>
      </c>
      <c r="C6">
        <v>318</v>
      </c>
    </row>
    <row r="7" spans="1:3" x14ac:dyDescent="0.25">
      <c r="A7" t="s">
        <v>7</v>
      </c>
      <c r="B7" t="s">
        <v>12</v>
      </c>
      <c r="C7">
        <v>1091</v>
      </c>
    </row>
    <row r="8" spans="1:3" x14ac:dyDescent="0.25">
      <c r="A8" t="s">
        <v>8</v>
      </c>
      <c r="B8" t="s">
        <v>11</v>
      </c>
      <c r="C8">
        <v>0</v>
      </c>
    </row>
    <row r="9" spans="1:3" x14ac:dyDescent="0.25">
      <c r="A9" t="s">
        <v>8</v>
      </c>
      <c r="B9" t="s">
        <v>12</v>
      </c>
      <c r="C9">
        <v>1409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tabSelected="1" workbookViewId="0">
      <selection activeCell="G9" sqref="G9"/>
    </sheetView>
  </sheetViews>
  <sheetFormatPr defaultRowHeight="15" x14ac:dyDescent="0.25"/>
  <sheetData>
    <row r="1" spans="1:5" x14ac:dyDescent="0.25">
      <c r="A1" t="s">
        <v>0</v>
      </c>
      <c r="B1" t="s">
        <v>13</v>
      </c>
      <c r="C1" t="s">
        <v>10</v>
      </c>
      <c r="D1" t="s">
        <v>38</v>
      </c>
      <c r="E1" t="s">
        <v>39</v>
      </c>
    </row>
    <row r="2" spans="1:5" x14ac:dyDescent="0.25">
      <c r="A2" t="s">
        <v>5</v>
      </c>
      <c r="B2" t="s">
        <v>14</v>
      </c>
      <c r="C2">
        <v>891</v>
      </c>
      <c r="D2" t="str">
        <f>IF(OR(B2="True Positive",B2="False Negative"),"Churn","No Churn")</f>
        <v>No Churn</v>
      </c>
      <c r="E2" t="str">
        <f>IF(OR(B2="True Positive",B2="False Positive"),"Churn","No Churn")</f>
        <v>No Churn</v>
      </c>
    </row>
    <row r="3" spans="1:5" x14ac:dyDescent="0.25">
      <c r="A3" t="s">
        <v>5</v>
      </c>
      <c r="B3" t="s">
        <v>15</v>
      </c>
      <c r="C3">
        <v>118</v>
      </c>
      <c r="D3" t="str">
        <f t="shared" ref="D3:D17" si="0">IF(OR(B3="True Positive",B3="False Negative"),"Churn","No Churn")</f>
        <v>No Churn</v>
      </c>
      <c r="E3" t="str">
        <f t="shared" ref="E3:E17" si="1">IF(OR(B3="True Positive",B3="False Positive"),"Churn","No Churn")</f>
        <v>Churn</v>
      </c>
    </row>
    <row r="4" spans="1:5" x14ac:dyDescent="0.25">
      <c r="A4" t="s">
        <v>5</v>
      </c>
      <c r="B4" t="s">
        <v>16</v>
      </c>
      <c r="C4">
        <v>170</v>
      </c>
      <c r="D4" t="str">
        <f t="shared" si="0"/>
        <v>Churn</v>
      </c>
      <c r="E4" t="str">
        <f t="shared" si="1"/>
        <v>No Churn</v>
      </c>
    </row>
    <row r="5" spans="1:5" x14ac:dyDescent="0.25">
      <c r="A5" t="s">
        <v>5</v>
      </c>
      <c r="B5" t="s">
        <v>17</v>
      </c>
      <c r="C5">
        <v>230</v>
      </c>
      <c r="D5" t="str">
        <f t="shared" si="0"/>
        <v>Churn</v>
      </c>
      <c r="E5" t="str">
        <f t="shared" si="1"/>
        <v>Churn</v>
      </c>
    </row>
    <row r="6" spans="1:5" x14ac:dyDescent="0.25">
      <c r="A6" t="s">
        <v>6</v>
      </c>
      <c r="B6" t="s">
        <v>14</v>
      </c>
      <c r="C6">
        <v>931</v>
      </c>
      <c r="D6" t="str">
        <f t="shared" si="0"/>
        <v>No Churn</v>
      </c>
      <c r="E6" t="str">
        <f t="shared" si="1"/>
        <v>No Churn</v>
      </c>
    </row>
    <row r="7" spans="1:5" x14ac:dyDescent="0.25">
      <c r="A7" t="s">
        <v>6</v>
      </c>
      <c r="B7" t="s">
        <v>15</v>
      </c>
      <c r="C7">
        <v>78</v>
      </c>
      <c r="D7" t="str">
        <f t="shared" si="0"/>
        <v>No Churn</v>
      </c>
      <c r="E7" t="str">
        <f t="shared" si="1"/>
        <v>Churn</v>
      </c>
    </row>
    <row r="8" spans="1:5" x14ac:dyDescent="0.25">
      <c r="A8" t="s">
        <v>6</v>
      </c>
      <c r="B8" t="s">
        <v>16</v>
      </c>
      <c r="C8">
        <v>203</v>
      </c>
      <c r="D8" t="str">
        <f t="shared" si="0"/>
        <v>Churn</v>
      </c>
      <c r="E8" t="str">
        <f t="shared" si="1"/>
        <v>No Churn</v>
      </c>
    </row>
    <row r="9" spans="1:5" x14ac:dyDescent="0.25">
      <c r="A9" t="s">
        <v>6</v>
      </c>
      <c r="B9" t="s">
        <v>17</v>
      </c>
      <c r="C9">
        <v>197</v>
      </c>
      <c r="D9" t="str">
        <f t="shared" si="0"/>
        <v>Churn</v>
      </c>
      <c r="E9" t="str">
        <f t="shared" si="1"/>
        <v>Churn</v>
      </c>
    </row>
    <row r="10" spans="1:5" x14ac:dyDescent="0.25">
      <c r="A10" t="s">
        <v>7</v>
      </c>
      <c r="B10" t="s">
        <v>14</v>
      </c>
      <c r="C10">
        <v>912</v>
      </c>
      <c r="D10" t="str">
        <f t="shared" si="0"/>
        <v>No Churn</v>
      </c>
      <c r="E10" t="str">
        <f t="shared" si="1"/>
        <v>No Churn</v>
      </c>
    </row>
    <row r="11" spans="1:5" x14ac:dyDescent="0.25">
      <c r="A11" t="s">
        <v>7</v>
      </c>
      <c r="B11" t="s">
        <v>15</v>
      </c>
      <c r="C11">
        <v>97</v>
      </c>
      <c r="D11" t="str">
        <f t="shared" si="0"/>
        <v>No Churn</v>
      </c>
      <c r="E11" t="str">
        <f t="shared" si="1"/>
        <v>Churn</v>
      </c>
    </row>
    <row r="12" spans="1:5" x14ac:dyDescent="0.25">
      <c r="A12" t="s">
        <v>7</v>
      </c>
      <c r="B12" t="s">
        <v>16</v>
      </c>
      <c r="C12">
        <v>179</v>
      </c>
      <c r="D12" t="str">
        <f t="shared" si="0"/>
        <v>Churn</v>
      </c>
      <c r="E12" t="str">
        <f t="shared" si="1"/>
        <v>No Churn</v>
      </c>
    </row>
    <row r="13" spans="1:5" x14ac:dyDescent="0.25">
      <c r="A13" t="s">
        <v>7</v>
      </c>
      <c r="B13" t="s">
        <v>17</v>
      </c>
      <c r="C13">
        <v>221</v>
      </c>
      <c r="D13" t="str">
        <f t="shared" si="0"/>
        <v>Churn</v>
      </c>
      <c r="E13" t="str">
        <f t="shared" si="1"/>
        <v>Churn</v>
      </c>
    </row>
    <row r="14" spans="1:5" x14ac:dyDescent="0.25">
      <c r="A14" t="s">
        <v>8</v>
      </c>
      <c r="B14" t="s">
        <v>14</v>
      </c>
      <c r="C14">
        <v>1009</v>
      </c>
      <c r="D14" t="str">
        <f t="shared" si="0"/>
        <v>No Churn</v>
      </c>
      <c r="E14" t="str">
        <f t="shared" si="1"/>
        <v>No Churn</v>
      </c>
    </row>
    <row r="15" spans="1:5" x14ac:dyDescent="0.25">
      <c r="A15" t="s">
        <v>8</v>
      </c>
      <c r="B15" t="s">
        <v>15</v>
      </c>
      <c r="C15">
        <v>0</v>
      </c>
      <c r="D15" t="str">
        <f t="shared" si="0"/>
        <v>No Churn</v>
      </c>
      <c r="E15" t="str">
        <f t="shared" si="1"/>
        <v>Churn</v>
      </c>
    </row>
    <row r="16" spans="1:5" x14ac:dyDescent="0.25">
      <c r="A16" t="s">
        <v>8</v>
      </c>
      <c r="B16" t="s">
        <v>16</v>
      </c>
      <c r="C16">
        <v>400</v>
      </c>
      <c r="D16" t="str">
        <f t="shared" si="0"/>
        <v>Churn</v>
      </c>
      <c r="E16" t="str">
        <f t="shared" si="1"/>
        <v>No Churn</v>
      </c>
    </row>
    <row r="17" spans="1:5" x14ac:dyDescent="0.25">
      <c r="A17" t="s">
        <v>8</v>
      </c>
      <c r="B17" t="s">
        <v>17</v>
      </c>
      <c r="C17">
        <v>0</v>
      </c>
      <c r="D17" t="str">
        <f t="shared" si="0"/>
        <v>Churn</v>
      </c>
      <c r="E17" t="str">
        <f t="shared" si="1"/>
        <v>Churn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selection activeCell="C6" sqref="C6"/>
    </sheetView>
  </sheetViews>
  <sheetFormatPr defaultRowHeight="15" x14ac:dyDescent="0.25"/>
  <sheetData>
    <row r="1" spans="1:3" x14ac:dyDescent="0.25">
      <c r="A1" t="s">
        <v>0</v>
      </c>
      <c r="B1" t="s">
        <v>18</v>
      </c>
      <c r="C1" t="s">
        <v>10</v>
      </c>
    </row>
    <row r="2" spans="1:3" x14ac:dyDescent="0.25">
      <c r="A2" t="s">
        <v>5</v>
      </c>
      <c r="B2" t="s">
        <v>19</v>
      </c>
      <c r="C2">
        <v>400</v>
      </c>
    </row>
    <row r="3" spans="1:3" x14ac:dyDescent="0.25">
      <c r="A3" t="s">
        <v>5</v>
      </c>
      <c r="B3" t="s">
        <v>20</v>
      </c>
      <c r="C3">
        <v>348</v>
      </c>
    </row>
    <row r="4" spans="1:3" x14ac:dyDescent="0.25">
      <c r="A4" t="s">
        <v>6</v>
      </c>
      <c r="B4" t="s">
        <v>19</v>
      </c>
      <c r="C4">
        <v>400</v>
      </c>
    </row>
    <row r="5" spans="1:3" x14ac:dyDescent="0.25">
      <c r="A5" t="s">
        <v>6</v>
      </c>
      <c r="B5" t="s">
        <v>20</v>
      </c>
      <c r="C5">
        <v>275</v>
      </c>
    </row>
    <row r="6" spans="1:3" x14ac:dyDescent="0.25">
      <c r="A6" t="s">
        <v>7</v>
      </c>
      <c r="B6" t="s">
        <v>19</v>
      </c>
      <c r="C6">
        <v>400</v>
      </c>
    </row>
    <row r="7" spans="1:3" x14ac:dyDescent="0.25">
      <c r="A7" t="s">
        <v>7</v>
      </c>
      <c r="B7" t="s">
        <v>20</v>
      </c>
      <c r="C7">
        <v>318</v>
      </c>
    </row>
    <row r="8" spans="1:3" x14ac:dyDescent="0.25">
      <c r="A8" t="s">
        <v>8</v>
      </c>
      <c r="B8" t="s">
        <v>19</v>
      </c>
      <c r="C8">
        <v>400</v>
      </c>
    </row>
    <row r="9" spans="1:3" x14ac:dyDescent="0.25">
      <c r="A9" t="s">
        <v>8</v>
      </c>
      <c r="B9" t="s">
        <v>20</v>
      </c>
      <c r="C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"/>
  <sheetViews>
    <sheetView workbookViewId="0">
      <selection activeCell="A2" sqref="A2"/>
    </sheetView>
  </sheetViews>
  <sheetFormatPr defaultRowHeight="15" x14ac:dyDescent="0.25"/>
  <sheetData>
    <row r="1" spans="1:3" x14ac:dyDescent="0.25">
      <c r="A1" t="s">
        <v>21</v>
      </c>
      <c r="B1" t="s">
        <v>22</v>
      </c>
      <c r="C1" t="s">
        <v>0</v>
      </c>
    </row>
    <row r="2" spans="1:3" x14ac:dyDescent="0.25">
      <c r="A2" t="s">
        <v>23</v>
      </c>
      <c r="B2">
        <v>1.764359085896853</v>
      </c>
      <c r="C2" t="s">
        <v>5</v>
      </c>
    </row>
    <row r="3" spans="1:3" x14ac:dyDescent="0.25">
      <c r="A3" t="s">
        <v>24</v>
      </c>
      <c r="B3">
        <v>1.4704226839112</v>
      </c>
      <c r="C3" t="s">
        <v>5</v>
      </c>
    </row>
    <row r="4" spans="1:3" x14ac:dyDescent="0.25">
      <c r="A4" t="s">
        <v>25</v>
      </c>
      <c r="B4">
        <v>1.442973590839655</v>
      </c>
      <c r="C4" t="s">
        <v>5</v>
      </c>
    </row>
    <row r="5" spans="1:3" x14ac:dyDescent="0.25">
      <c r="A5" t="s">
        <v>26</v>
      </c>
      <c r="B5">
        <v>1.4121142093176691</v>
      </c>
      <c r="C5" t="s">
        <v>5</v>
      </c>
    </row>
    <row r="6" spans="1:3" x14ac:dyDescent="0.25">
      <c r="A6" t="s">
        <v>27</v>
      </c>
      <c r="B6">
        <v>1.3977858887221981</v>
      </c>
      <c r="C6" t="s">
        <v>5</v>
      </c>
    </row>
    <row r="7" spans="1:3" x14ac:dyDescent="0.25">
      <c r="A7" t="s">
        <v>28</v>
      </c>
      <c r="B7">
        <v>9.5496376772452929E-2</v>
      </c>
      <c r="C7" t="s">
        <v>6</v>
      </c>
    </row>
    <row r="8" spans="1:3" x14ac:dyDescent="0.25">
      <c r="A8" t="s">
        <v>29</v>
      </c>
      <c r="B8">
        <v>9.1600688050848186E-2</v>
      </c>
      <c r="C8" t="s">
        <v>6</v>
      </c>
    </row>
    <row r="9" spans="1:3" x14ac:dyDescent="0.25">
      <c r="A9" t="s">
        <v>30</v>
      </c>
      <c r="B9">
        <v>7.3757950138506737E-2</v>
      </c>
      <c r="C9" t="s">
        <v>6</v>
      </c>
    </row>
    <row r="10" spans="1:3" x14ac:dyDescent="0.25">
      <c r="A10" t="s">
        <v>31</v>
      </c>
      <c r="B10">
        <v>5.9414634132687043E-2</v>
      </c>
      <c r="C10" t="s">
        <v>6</v>
      </c>
    </row>
    <row r="11" spans="1:3" x14ac:dyDescent="0.25">
      <c r="A11" t="s">
        <v>32</v>
      </c>
      <c r="B11">
        <v>5.8981154695395388E-2</v>
      </c>
      <c r="C11" t="s">
        <v>6</v>
      </c>
    </row>
    <row r="12" spans="1:3" x14ac:dyDescent="0.25">
      <c r="A12" t="s">
        <v>33</v>
      </c>
      <c r="B12">
        <v>0</v>
      </c>
      <c r="C12" t="s">
        <v>8</v>
      </c>
    </row>
    <row r="13" spans="1:3" x14ac:dyDescent="0.25">
      <c r="A13" t="s">
        <v>34</v>
      </c>
      <c r="B13">
        <v>0.235843300819397</v>
      </c>
      <c r="C13" t="s">
        <v>7</v>
      </c>
    </row>
    <row r="14" spans="1:3" x14ac:dyDescent="0.25">
      <c r="A14" t="s">
        <v>35</v>
      </c>
      <c r="B14">
        <v>0.1618285924196243</v>
      </c>
      <c r="C14" t="s">
        <v>7</v>
      </c>
    </row>
    <row r="15" spans="1:3" x14ac:dyDescent="0.25">
      <c r="A15" t="s">
        <v>36</v>
      </c>
      <c r="B15">
        <v>9.9610336124897003E-2</v>
      </c>
      <c r="C15" t="s">
        <v>7</v>
      </c>
    </row>
    <row r="16" spans="1:3" x14ac:dyDescent="0.25">
      <c r="A16" t="s">
        <v>37</v>
      </c>
      <c r="B16">
        <v>5.2905607968568802E-2</v>
      </c>
      <c r="C16" t="s">
        <v>7</v>
      </c>
    </row>
    <row r="17" spans="1:3" x14ac:dyDescent="0.25">
      <c r="A17" t="s">
        <v>29</v>
      </c>
      <c r="B17">
        <v>4.011230543255806E-2</v>
      </c>
      <c r="C17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Model Metrics</vt:lpstr>
      <vt:lpstr>Prediction Distribution</vt:lpstr>
      <vt:lpstr>Confusion Matrix</vt:lpstr>
      <vt:lpstr>Actual vs Predicted</vt:lpstr>
      <vt:lpstr>Feature Importance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2026-06-02T15:46:31Z</dcterms:created>
  <dcterms:modified xsi:type="dcterms:W3CDTF">2026-06-02T20:10:46Z</dcterms:modified>
</cp:coreProperties>
</file>